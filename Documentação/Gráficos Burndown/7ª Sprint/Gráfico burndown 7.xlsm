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13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7ED1F904-6C8E-459F-8550-AA753E7888B1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OFFSET(Atividades!$B$8,0,0,1,COUNT(Atividades!$B$8:$I$8))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1" l="1"/>
  <c r="C9" i="1" s="1"/>
  <c r="D9" i="1" s="1"/>
  <c r="E9" i="1" s="1"/>
  <c r="F9" i="1" s="1"/>
  <c r="G9" i="1" s="1"/>
  <c r="H9" i="1" s="1"/>
  <c r="I9" i="1" s="1"/>
  <c r="B8" i="1"/>
  <c r="C8" i="1" l="1"/>
  <c r="D8" i="1" s="1"/>
  <c r="E8" i="1" s="1"/>
  <c r="F8" i="1" s="1"/>
  <c r="G8" i="1" s="1"/>
  <c r="H8" i="1" s="1"/>
  <c r="I8" i="1" s="1"/>
</calcChain>
</file>

<file path=xl/sharedStrings.xml><?xml version="1.0" encoding="utf-8"?>
<sst xmlns="http://schemas.openxmlformats.org/spreadsheetml/2006/main" count="17" uniqueCount="17">
  <si>
    <t>Atividades</t>
  </si>
  <si>
    <t>Total de horas</t>
  </si>
  <si>
    <t>Dia 1</t>
  </si>
  <si>
    <t>Dia 2</t>
  </si>
  <si>
    <t>Dia 3</t>
  </si>
  <si>
    <t>Dia 4</t>
  </si>
  <si>
    <t>Dia 5</t>
  </si>
  <si>
    <t>Dia 6</t>
  </si>
  <si>
    <t>Dia 7</t>
  </si>
  <si>
    <t>Aprimorar os certificados</t>
  </si>
  <si>
    <t>Aprimorar o registro de atividades</t>
  </si>
  <si>
    <t>Aprimorar todos os formulário</t>
  </si>
  <si>
    <t>Retornar dados das atividades cadastradas para a modificação</t>
  </si>
  <si>
    <t>Criar página para cupom</t>
  </si>
  <si>
    <t>Validação de cadastro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</si>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</sst>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Atividades!$A$8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25</c:v>
                </c:pt>
                <c:pt idx="1">
                  <c:v>18</c:v>
                </c:pt>
                <c:pt idx="2">
                  <c:v>12</c:v>
                </c:pt>
                <c:pt idx="3">
                  <c:v>9</c:v>
                </c:pt>
                <c:pt idx="4">
                  <c:v>5</c:v>
                </c:pt>
                <c:pt idx="5">
                  <c:v>-1</c:v>
                </c:pt>
                <c:pt idx="6">
                  <c:v>-2</c:v>
                </c:pt>
                <c:pt idx="7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Atividades!$A$9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Atividades!$B$9:$I$9</c:f>
              <c:numCache>
                <c:formatCode>General</c:formatCode>
                <c:ptCount val="8"/>
                <c:pt idx="0">
                  <c:v>25</c:v>
                </c:pt>
                <c:pt idx="1">
                  <c:v>21.428571428571427</c:v>
                </c:pt>
                <c:pt idx="2">
                  <c:v>17.857142857142854</c:v>
                </c:pt>
                <c:pt idx="3">
                  <c:v>14.285714285714283</c:v>
                </c:pt>
                <c:pt idx="4">
                  <c:v>10.714285714285712</c:v>
                </c:pt>
                <c:pt idx="5">
                  <c:v>7.1428571428571406</c:v>
                </c:pt>
                <c:pt idx="6">
                  <c:v>3.571428571428569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'Gráfico burndown 9.xlsm'!Restante</c:f>
              <c:numCache>
                <c:formatCode>General</c:formatCode>
                <c:ptCount val="2"/>
                <c:pt idx="0">
                  <c:v>120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'Gráfico burndown 9.xlsm'!Restante</c:f>
              <c:numCache>
                <c:formatCode>General</c:formatCode>
                <c:ptCount val="2"/>
                <c:pt idx="0">
                  <c:v>120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2333625</xdr:colOff>
      <xdr:row>10</xdr:row>
      <xdr:rowOff>95250</xdr:rowOff>
    </xdr:from>
    <xdr:to>
      <xdr:col>6</xdr:col>
      <xdr:colOff>123825</xdr:colOff>
      <xdr:row>21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9"/>
  <sheetViews>
    <sheetView showGridLines="0" tabSelected="1" workbookViewId="0">
      <selection activeCell="A9" sqref="A9"/>
    </sheetView>
  </sheetViews>
  <sheetFormatPr defaultRowHeight="15"/>
  <cols>
    <col min="1" max="1" width="52.5703125" customWidth="1"/>
    <col min="2" max="2" width="13.5703125" bestFit="1" customWidth="1"/>
  </cols>
  <sheetData>
    <row r="1" spans="1:9">
      <c r="A1" s="2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s="2" t="s">
        <v>9</v>
      </c>
      <c r="B2" s="2">
        <v>4</v>
      </c>
      <c r="C2" s="2">
        <v>1</v>
      </c>
      <c r="D2" s="2">
        <v>1</v>
      </c>
      <c r="E2" s="2">
        <v>1</v>
      </c>
      <c r="F2" s="2">
        <v>1</v>
      </c>
      <c r="G2" s="2">
        <v>1</v>
      </c>
      <c r="H2" s="2"/>
      <c r="I2" s="2"/>
    </row>
    <row r="3" spans="1:9">
      <c r="A3" s="2" t="s">
        <v>10</v>
      </c>
      <c r="B3" s="2">
        <v>3</v>
      </c>
      <c r="C3" s="2">
        <v>1</v>
      </c>
      <c r="D3" s="2"/>
      <c r="E3" s="2">
        <v>1</v>
      </c>
      <c r="F3" s="2">
        <v>1</v>
      </c>
      <c r="G3" s="2"/>
      <c r="H3" s="2"/>
      <c r="I3" s="2"/>
    </row>
    <row r="4" spans="1:9">
      <c r="A4" s="2" t="s">
        <v>11</v>
      </c>
      <c r="B4" s="2">
        <v>5</v>
      </c>
      <c r="C4" s="2">
        <v>2</v>
      </c>
      <c r="D4" s="2">
        <v>1</v>
      </c>
      <c r="E4" s="2"/>
      <c r="F4" s="2">
        <v>1</v>
      </c>
      <c r="G4" s="2">
        <v>2</v>
      </c>
      <c r="H4" s="2"/>
      <c r="I4" s="2"/>
    </row>
    <row r="5" spans="1:9" ht="15" customHeight="1">
      <c r="A5" s="2" t="s">
        <v>12</v>
      </c>
      <c r="B5" s="2">
        <v>6</v>
      </c>
      <c r="C5" s="2">
        <v>1</v>
      </c>
      <c r="D5" s="2">
        <v>3</v>
      </c>
      <c r="E5" s="2"/>
      <c r="F5" s="2"/>
      <c r="G5" s="2">
        <v>1</v>
      </c>
      <c r="H5" s="2">
        <v>1</v>
      </c>
      <c r="I5" s="2">
        <v>1</v>
      </c>
    </row>
    <row r="6" spans="1:9">
      <c r="A6" s="2" t="s">
        <v>13</v>
      </c>
      <c r="B6" s="2">
        <v>2</v>
      </c>
      <c r="C6" s="2">
        <v>1</v>
      </c>
      <c r="D6" s="2">
        <v>1</v>
      </c>
      <c r="E6" s="2"/>
      <c r="F6" s="2"/>
      <c r="G6" s="2"/>
      <c r="H6" s="2"/>
      <c r="I6" s="2"/>
    </row>
    <row r="7" spans="1:9">
      <c r="A7" s="2" t="s">
        <v>14</v>
      </c>
      <c r="B7" s="2">
        <v>5</v>
      </c>
      <c r="C7" s="2">
        <v>1</v>
      </c>
      <c r="D7" s="2"/>
      <c r="E7" s="2">
        <v>1</v>
      </c>
      <c r="F7" s="2">
        <v>1</v>
      </c>
      <c r="G7" s="2">
        <v>2</v>
      </c>
      <c r="H7" s="2"/>
      <c r="I7" s="2"/>
    </row>
    <row r="8" spans="1:9">
      <c r="A8" s="2" t="s">
        <v>15</v>
      </c>
      <c r="B8" s="2">
        <f>SUM($B$2:$B$7)</f>
        <v>25</v>
      </c>
      <c r="C8" s="2">
        <f>IF(SUM(C2:C7)&gt;0,B8-SUM(C2:C7),"")</f>
        <v>18</v>
      </c>
      <c r="D8" s="2">
        <f>IF(SUM(D2:D7)&gt;0,C8-SUM(D2:D7),"")</f>
        <v>12</v>
      </c>
      <c r="E8" s="2">
        <f>IF(SUM(E2:E7)&gt;0,D8-SUM(E2:E7),"")</f>
        <v>9</v>
      </c>
      <c r="F8" s="2">
        <f>IF(SUM(F2:F7)&gt;0,E8-SUM(F2:F7),"")</f>
        <v>5</v>
      </c>
      <c r="G8" s="2">
        <f>IF(SUM(G2:G7)&gt;0,F8-SUM(G2:G7),"")</f>
        <v>-1</v>
      </c>
      <c r="H8" s="2">
        <f>IF(SUM(H2:H7)&gt;0,G8-SUM(H2:H7),"")</f>
        <v>-2</v>
      </c>
      <c r="I8" s="2">
        <f>IF(SUM(I2:I7)&gt;0,H8-SUM(I2:I7),"")</f>
        <v>-3</v>
      </c>
    </row>
    <row r="9" spans="1:9">
      <c r="A9" s="2" t="s">
        <v>16</v>
      </c>
      <c r="B9" s="2">
        <f>SUM($B$2:$B$7)</f>
        <v>25</v>
      </c>
      <c r="C9" s="2">
        <f>B9-($B$9/COUNTA($C$1:$I$1))</f>
        <v>21.428571428571427</v>
      </c>
      <c r="D9" s="2">
        <f>C9-($B$9/COUNTA($C$1:$I$1))</f>
        <v>17.857142857142854</v>
      </c>
      <c r="E9" s="2">
        <f>D9-($B$9/COUNTA($C$1:$I$1))</f>
        <v>14.285714285714283</v>
      </c>
      <c r="F9" s="2">
        <f>E9-($B$9/COUNTA($C$1:$I$1))</f>
        <v>10.714285714285712</v>
      </c>
      <c r="G9" s="2">
        <f>F9-($B$9/COUNTA($C$1:$I$1))</f>
        <v>7.1428571428571406</v>
      </c>
      <c r="H9" s="2">
        <f>G9-($B$9/COUNTA($C$1:$I$1))</f>
        <v>3.571428571428569</v>
      </c>
      <c r="I9" s="2">
        <f>H9-($B$9/COUNTA($C$1:$I$1))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2019-11-17T17:52:45Z</dcterms:modified>
  <cp:category/>
  <cp:contentStatus/>
</cp:coreProperties>
</file>