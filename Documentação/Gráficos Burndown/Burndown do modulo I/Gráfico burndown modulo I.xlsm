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9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A5332D5E-27FD-42BE-94A3-43B4CFAE0EF6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externalReferences>
    <externalReference r:id="rId4"/>
  </externalReferences>
  <definedNames>
    <definedName name="Restante">OFFSET(Atividades!$B$22,0,0,1,COUNT(Atividades!$B$22:$J$22))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2" i="1" l="1"/>
  <c r="J22" i="1"/>
  <c r="B23" i="1"/>
  <c r="C23" i="1" s="1"/>
  <c r="D23" i="1" s="1"/>
  <c r="E23" i="1" s="1"/>
  <c r="F23" i="1" s="1"/>
  <c r="G23" i="1" s="1"/>
  <c r="H23" i="1" s="1"/>
  <c r="I23" i="1" s="1"/>
  <c r="J23" i="1" s="1"/>
  <c r="B22" i="1"/>
  <c r="C22" i="1" s="1"/>
  <c r="D22" i="1" l="1"/>
  <c r="E22" i="1" s="1"/>
  <c r="F22" i="1" s="1"/>
  <c r="H22" i="1" l="1"/>
  <c r="G22" i="1"/>
  <c r="D25" i="1" s="1"/>
</calcChain>
</file>

<file path=xl/sharedStrings.xml><?xml version="1.0" encoding="utf-8"?>
<sst xmlns="http://schemas.openxmlformats.org/spreadsheetml/2006/main" count="31" uniqueCount="31">
  <si>
    <t xml:space="preserve"> Horas</t>
  </si>
  <si>
    <t>1ª Sprint</t>
  </si>
  <si>
    <t>2ª Sprint</t>
  </si>
  <si>
    <t>3ª Sprint</t>
  </si>
  <si>
    <t>4ª Sprint</t>
  </si>
  <si>
    <t>5ª Sprint</t>
  </si>
  <si>
    <t>6ª Sprint</t>
  </si>
  <si>
    <t>7ª Sprint</t>
  </si>
  <si>
    <t>8ª Sprint</t>
  </si>
  <si>
    <t>Analise de plataformas de gerenciamento de eventos web</t>
  </si>
  <si>
    <t>Mapa mental</t>
  </si>
  <si>
    <t>Criação do repositório</t>
  </si>
  <si>
    <t>Criação do Kanban</t>
  </si>
  <si>
    <t>Criar uma pagina para cadastro e login do administrador</t>
  </si>
  <si>
    <t>Página de login</t>
  </si>
  <si>
    <t>Página de cadastro</t>
  </si>
  <si>
    <t>Criar uma pagina para a criação do evento</t>
  </si>
  <si>
    <t>Criar uma seção para cadastro de atividades</t>
  </si>
  <si>
    <t>Criar uma seção participantes cadastrados</t>
  </si>
  <si>
    <t>Instanciar o servidor e configurar(Node)</t>
  </si>
  <si>
    <t>Aplicação de CSS nas páginas</t>
  </si>
  <si>
    <t>Limitar número de participantes nas atividades</t>
  </si>
  <si>
    <t xml:space="preserve">Alterar arquivos .html para .handlebars </t>
  </si>
  <si>
    <t>Configurar o front-end pra funcionar junto com o Back-end</t>
  </si>
  <si>
    <t>Criar seção para listar atividades já cadastrada</t>
  </si>
  <si>
    <t>Criar cupons de desconto</t>
  </si>
  <si>
    <t xml:space="preserve">Instalar Bootstrape </t>
  </si>
  <si>
    <t xml:space="preserve"> Gerenciar choque de horário:</t>
  </si>
  <si>
    <t xml:space="preserve">Emitir certificado 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</si>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</sst>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1" xfId="0" applyFont="1" applyBorder="1"/>
    <xf numFmtId="0" fontId="1" fillId="0" borderId="10" xfId="0" applyFont="1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 Modulo I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Atividades!$A$22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6"/>
                <c:pt idx="0">
                  <c:v>97</c:v>
                </c:pt>
                <c:pt idx="1">
                  <c:v>87</c:v>
                </c:pt>
                <c:pt idx="2">
                  <c:v>72</c:v>
                </c:pt>
                <c:pt idx="3">
                  <c:v>59</c:v>
                </c:pt>
                <c:pt idx="4">
                  <c:v>21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Atividades!$A$23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Atividades!$B$23:$J$23</c:f>
              <c:numCache>
                <c:formatCode>General</c:formatCode>
                <c:ptCount val="9"/>
                <c:pt idx="0">
                  <c:v>97</c:v>
                </c:pt>
                <c:pt idx="1">
                  <c:v>84.875</c:v>
                </c:pt>
                <c:pt idx="2">
                  <c:v>72.75</c:v>
                </c:pt>
                <c:pt idx="3">
                  <c:v>60.625</c:v>
                </c:pt>
                <c:pt idx="4">
                  <c:v>48.5</c:v>
                </c:pt>
                <c:pt idx="5">
                  <c:v>36.375</c:v>
                </c:pt>
                <c:pt idx="6">
                  <c:v>24.25</c:v>
                </c:pt>
                <c:pt idx="7">
                  <c:v>12.125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Instanciar o servidor e configurar(Node)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Aplicação de CSS nas páginas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</c:v>
                </c:pt>
                <c:pt idx="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Instanciar o servidor e configurar(Node)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Aplicação de CSS nas páginas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</c:v>
                </c:pt>
                <c:pt idx="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9525</xdr:rowOff>
    </xdr:from>
    <xdr:to>
      <xdr:col>16</xdr:col>
      <xdr:colOff>419099</xdr:colOff>
      <xdr:row>23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&#225;fico%20burndown%2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burndown 7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5"/>
  <sheetViews>
    <sheetView showGridLines="0" tabSelected="1" workbookViewId="0">
      <selection activeCell="E10" sqref="E10"/>
    </sheetView>
  </sheetViews>
  <sheetFormatPr defaultRowHeight="15"/>
  <cols>
    <col min="1" max="1" width="50" customWidth="1"/>
    <col min="2" max="2" width="12.140625" customWidth="1"/>
  </cols>
  <sheetData>
    <row r="1" spans="1:10">
      <c r="B1" s="9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0" t="s">
        <v>5</v>
      </c>
      <c r="H1" s="10" t="s">
        <v>6</v>
      </c>
      <c r="I1" s="10" t="s">
        <v>7</v>
      </c>
      <c r="J1" s="10" t="s">
        <v>8</v>
      </c>
    </row>
    <row r="2" spans="1:10">
      <c r="A2" s="5" t="s">
        <v>9</v>
      </c>
      <c r="B2" s="6">
        <v>4</v>
      </c>
      <c r="C2" s="6">
        <v>4</v>
      </c>
      <c r="D2" s="6"/>
      <c r="E2" s="6"/>
      <c r="F2" s="6"/>
      <c r="G2" s="6"/>
      <c r="H2" s="6"/>
      <c r="I2" s="6"/>
      <c r="J2" s="6"/>
    </row>
    <row r="3" spans="1:10">
      <c r="A3" s="12" t="s">
        <v>10</v>
      </c>
      <c r="B3" s="13">
        <v>2</v>
      </c>
      <c r="C3" s="13">
        <v>2</v>
      </c>
      <c r="D3" s="13"/>
      <c r="E3" s="13"/>
      <c r="F3" s="13"/>
      <c r="G3" s="13"/>
      <c r="H3" s="13"/>
      <c r="I3" s="13"/>
      <c r="J3" s="13"/>
    </row>
    <row r="4" spans="1:10">
      <c r="A4" s="12" t="s">
        <v>11</v>
      </c>
      <c r="B4" s="13">
        <v>2</v>
      </c>
      <c r="C4" s="13">
        <v>2</v>
      </c>
      <c r="D4" s="13"/>
      <c r="E4" s="13"/>
      <c r="F4" s="13"/>
      <c r="G4" s="13"/>
      <c r="H4" s="13"/>
      <c r="I4" s="13"/>
      <c r="J4" s="13"/>
    </row>
    <row r="5" spans="1:10">
      <c r="A5" s="12" t="s">
        <v>12</v>
      </c>
      <c r="B5" s="13">
        <v>2</v>
      </c>
      <c r="C5" s="13">
        <v>2</v>
      </c>
      <c r="D5" s="13"/>
      <c r="E5" s="13"/>
      <c r="F5" s="13"/>
      <c r="G5" s="13"/>
      <c r="H5" s="13"/>
      <c r="I5" s="13"/>
      <c r="J5" s="13"/>
    </row>
    <row r="6" spans="1:10">
      <c r="A6" s="12" t="s">
        <v>13</v>
      </c>
      <c r="B6" s="13">
        <v>5</v>
      </c>
      <c r="C6" s="13"/>
      <c r="D6" s="13">
        <v>3</v>
      </c>
      <c r="E6" s="13">
        <v>2</v>
      </c>
      <c r="F6" s="13"/>
      <c r="G6" s="13"/>
      <c r="H6" s="13"/>
      <c r="I6" s="13"/>
      <c r="J6" s="13"/>
    </row>
    <row r="7" spans="1:10">
      <c r="A7" s="7" t="s">
        <v>14</v>
      </c>
      <c r="B7" s="1">
        <v>4</v>
      </c>
      <c r="C7" s="1"/>
      <c r="D7" s="1">
        <v>2</v>
      </c>
      <c r="E7" s="1">
        <v>2</v>
      </c>
      <c r="F7" s="1"/>
      <c r="G7" s="1"/>
      <c r="H7" s="1"/>
      <c r="I7" s="1"/>
      <c r="J7" s="1"/>
    </row>
    <row r="8" spans="1:10">
      <c r="A8" s="7" t="s">
        <v>15</v>
      </c>
      <c r="B8" s="1">
        <v>4</v>
      </c>
      <c r="C8" s="1"/>
      <c r="D8" s="1">
        <v>2</v>
      </c>
      <c r="E8" s="1">
        <v>2</v>
      </c>
      <c r="F8" s="1"/>
      <c r="G8" s="1"/>
      <c r="H8" s="1"/>
      <c r="I8" s="1"/>
      <c r="J8" s="1"/>
    </row>
    <row r="9" spans="1:10">
      <c r="A9" s="7" t="s">
        <v>16</v>
      </c>
      <c r="B9" s="11">
        <v>6</v>
      </c>
      <c r="C9" s="1"/>
      <c r="D9" s="1">
        <v>3</v>
      </c>
      <c r="E9" s="1">
        <v>3</v>
      </c>
      <c r="F9" s="1"/>
      <c r="G9" s="1"/>
      <c r="H9" s="1"/>
      <c r="I9" s="1"/>
      <c r="J9" s="1"/>
    </row>
    <row r="10" spans="1:10">
      <c r="A10" s="7" t="s">
        <v>17</v>
      </c>
      <c r="B10" s="1">
        <v>4</v>
      </c>
      <c r="C10" s="1"/>
      <c r="D10" s="1">
        <v>2</v>
      </c>
      <c r="E10" s="1">
        <v>2</v>
      </c>
      <c r="F10" s="1"/>
      <c r="G10" s="1"/>
      <c r="H10" s="1"/>
      <c r="I10" s="1"/>
      <c r="J10" s="1"/>
    </row>
    <row r="11" spans="1:10">
      <c r="A11" s="7" t="s">
        <v>18</v>
      </c>
      <c r="B11" s="1">
        <v>5</v>
      </c>
      <c r="C11" s="1"/>
      <c r="D11" s="1">
        <v>3</v>
      </c>
      <c r="E11" s="1">
        <v>2</v>
      </c>
      <c r="F11" s="1"/>
      <c r="G11" s="1"/>
      <c r="H11" s="1"/>
      <c r="I11" s="1"/>
      <c r="J11" s="1"/>
    </row>
    <row r="12" spans="1:10">
      <c r="A12" s="7" t="s">
        <v>19</v>
      </c>
      <c r="B12" s="1">
        <v>12</v>
      </c>
      <c r="C12" s="1"/>
      <c r="D12" s="1"/>
      <c r="E12" s="1"/>
      <c r="F12" s="1">
        <v>12</v>
      </c>
      <c r="G12" s="1"/>
      <c r="H12" s="1"/>
      <c r="I12" s="1"/>
      <c r="J12" s="1"/>
    </row>
    <row r="13" spans="1:10">
      <c r="A13" s="7" t="s">
        <v>20</v>
      </c>
      <c r="B13" s="1">
        <v>12</v>
      </c>
      <c r="C13" s="1"/>
      <c r="D13" s="1"/>
      <c r="E13" s="1"/>
      <c r="F13" s="1">
        <v>12</v>
      </c>
      <c r="G13" s="1"/>
      <c r="H13" s="1"/>
      <c r="I13" s="1"/>
      <c r="J13" s="1"/>
    </row>
    <row r="14" spans="1:10">
      <c r="A14" s="7" t="s">
        <v>21</v>
      </c>
      <c r="B14" s="1">
        <v>1</v>
      </c>
      <c r="C14" s="1"/>
      <c r="D14" s="1"/>
      <c r="E14" s="1"/>
      <c r="F14" s="1">
        <v>1</v>
      </c>
      <c r="G14" s="1"/>
      <c r="H14" s="1"/>
      <c r="I14" s="1"/>
      <c r="J14" s="1"/>
    </row>
    <row r="15" spans="1:10">
      <c r="A15" s="7" t="s">
        <v>22</v>
      </c>
      <c r="B15" s="1">
        <v>5</v>
      </c>
      <c r="C15" s="1"/>
      <c r="D15" s="1"/>
      <c r="E15" s="1"/>
      <c r="F15" s="1">
        <v>5</v>
      </c>
      <c r="G15" s="1"/>
      <c r="H15" s="1"/>
      <c r="I15" s="1"/>
      <c r="J15" s="1"/>
    </row>
    <row r="16" spans="1:10">
      <c r="A16" s="7" t="s">
        <v>23</v>
      </c>
      <c r="B16" s="1">
        <v>8</v>
      </c>
      <c r="C16" s="1"/>
      <c r="D16" s="1"/>
      <c r="E16" s="1"/>
      <c r="F16" s="1">
        <v>8</v>
      </c>
      <c r="G16" s="1"/>
      <c r="H16" s="1"/>
      <c r="I16" s="1"/>
      <c r="J16" s="1"/>
    </row>
    <row r="17" spans="1:10">
      <c r="A17" s="7" t="s">
        <v>24</v>
      </c>
      <c r="B17" s="1">
        <v>3</v>
      </c>
      <c r="C17" s="1"/>
      <c r="D17" s="1"/>
      <c r="E17" s="1"/>
      <c r="F17" s="1"/>
      <c r="G17" s="1">
        <v>3</v>
      </c>
      <c r="H17" s="1"/>
      <c r="I17" s="1"/>
      <c r="J17" s="1"/>
    </row>
    <row r="18" spans="1:10">
      <c r="A18" s="7" t="s">
        <v>25</v>
      </c>
      <c r="B18" s="1">
        <v>3</v>
      </c>
      <c r="C18" s="1"/>
      <c r="D18" s="1"/>
      <c r="E18" s="1"/>
      <c r="F18" s="1"/>
      <c r="G18" s="1">
        <v>3</v>
      </c>
      <c r="H18" s="1"/>
      <c r="I18" s="1"/>
      <c r="J18" s="1"/>
    </row>
    <row r="19" spans="1:10">
      <c r="A19" s="7" t="s">
        <v>26</v>
      </c>
      <c r="B19" s="1">
        <v>5</v>
      </c>
      <c r="C19" s="1"/>
      <c r="D19" s="1"/>
      <c r="E19" s="1"/>
      <c r="F19" s="1"/>
      <c r="G19" s="1">
        <v>5</v>
      </c>
      <c r="H19" s="1"/>
      <c r="I19" s="1"/>
      <c r="J19" s="1"/>
    </row>
    <row r="20" spans="1:10">
      <c r="A20" s="7" t="s">
        <v>27</v>
      </c>
      <c r="B20" s="1">
        <v>6</v>
      </c>
      <c r="C20" s="1"/>
      <c r="D20" s="1"/>
      <c r="E20" s="1"/>
      <c r="F20" s="1"/>
      <c r="G20" s="1"/>
      <c r="H20" s="1"/>
      <c r="I20" s="1"/>
      <c r="J20" s="1"/>
    </row>
    <row r="21" spans="1:10">
      <c r="A21" s="8" t="s">
        <v>28</v>
      </c>
      <c r="B21" s="2">
        <v>4</v>
      </c>
      <c r="C21" s="2"/>
      <c r="D21" s="2"/>
      <c r="E21" s="2"/>
      <c r="F21" s="2"/>
      <c r="G21" s="2"/>
      <c r="H21" s="2"/>
      <c r="I21" s="2"/>
      <c r="J21" s="2"/>
    </row>
    <row r="22" spans="1:10">
      <c r="A22" s="3" t="s">
        <v>29</v>
      </c>
      <c r="B22" s="4">
        <f>SUM($B$2:$B$21)</f>
        <v>97</v>
      </c>
      <c r="C22" s="4">
        <f>IF(SUM(C2:C21)&gt;0,B22-SUM(C2:C21),"")</f>
        <v>87</v>
      </c>
      <c r="D22" s="4">
        <f>IF(SUM(D2:D21)&gt;0,C22-SUM(D2:D21),"")</f>
        <v>72</v>
      </c>
      <c r="E22" s="4">
        <f>IF(SUM(E2:E21)&gt;0,D22-SUM(E2:E21),"")</f>
        <v>59</v>
      </c>
      <c r="F22" s="4">
        <f>IF(SUM(F2:F21)&gt;0,E22-SUM(F2:F21),"")</f>
        <v>21</v>
      </c>
      <c r="G22" s="4">
        <f>IF(SUM(G2:G21)&gt;0,F22-SUM(G2:G21),"")</f>
        <v>10</v>
      </c>
      <c r="H22" s="4" t="str">
        <f>IF(SUM(H2:H21)&gt;0,G22-SUM(H2:H21),"")</f>
        <v/>
      </c>
      <c r="I22" s="4" t="str">
        <f>IF(SUM(I2:I21)&gt;0,H22-SUM(I2:I21),"")</f>
        <v/>
      </c>
      <c r="J22" s="4" t="str">
        <f>IF(SUM(J2:J21)&gt;0,I22-SUM(J2:J21),"")</f>
        <v/>
      </c>
    </row>
    <row r="23" spans="1:10">
      <c r="A23" s="3" t="s">
        <v>30</v>
      </c>
      <c r="B23" s="4">
        <f>SUM($B$2:$B$21)</f>
        <v>97</v>
      </c>
      <c r="C23" s="4">
        <f>B23-($B$23/COUNTA($C$1:$J$1))</f>
        <v>84.875</v>
      </c>
      <c r="D23" s="4">
        <f>C23-($B$23/COUNTA($C$1:$J$1))</f>
        <v>72.75</v>
      </c>
      <c r="E23" s="4">
        <f>D23-($B$23/COUNTA($C$1:$J$1))</f>
        <v>60.625</v>
      </c>
      <c r="F23" s="4">
        <f>E23-($B$23/COUNTA($C$1:$J$1))</f>
        <v>48.5</v>
      </c>
      <c r="G23" s="4">
        <f>F23-($B$23/COUNTA($C$1:$J$1))</f>
        <v>36.375</v>
      </c>
      <c r="H23" s="4">
        <f>G23-($B$23/COUNTA($C$1:$J$1))</f>
        <v>24.25</v>
      </c>
      <c r="I23" s="4">
        <f>H23-($B$23/COUNTA($C$1:$J$1))</f>
        <v>12.125</v>
      </c>
      <c r="J23" s="4">
        <f>I23-($B$23/COUNTA($C$1:$J$1))</f>
        <v>0</v>
      </c>
    </row>
    <row r="25" spans="1:10">
      <c r="D25" t="str">
        <f ca="1">OFFSET($C$22:C22,0,COUNTA(D22:J22),1,1)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2019-11-06T19:42:40Z</dcterms:modified>
  <cp:category/>
  <cp:contentStatus/>
</cp:coreProperties>
</file>